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13_ncr:1_{5F6F075E-1706-43B6-84C9-FBFFAF5E2BE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60-Second Audit" sheetId="1" r:id="rId1"/>
    <sheet name="2026 Updates" sheetId="2" r:id="rId2"/>
    <sheet name="Fix Playboo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2" l="1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B16" i="2" s="1"/>
  <c r="B14" i="1"/>
  <c r="B13" i="1"/>
  <c r="B17" i="1" s="1"/>
  <c r="B15" i="1" l="1"/>
</calcChain>
</file>

<file path=xl/sharedStrings.xml><?xml version="1.0" encoding="utf-8"?>
<sst xmlns="http://schemas.openxmlformats.org/spreadsheetml/2006/main" count="156" uniqueCount="147">
  <si>
    <t>The 60-Second SEO Audit: Why Did My Website Traffic Drop?</t>
  </si>
  <si>
    <t>Six checks, ten seconds each. Fill in only the Result (dropdown) and Your notes columns.</t>
  </si>
  <si>
    <t>Time</t>
  </si>
  <si>
    <t>Check</t>
  </si>
  <si>
    <t>Where to look</t>
  </si>
  <si>
    <t>Pass signal</t>
  </si>
  <si>
    <t>Fail signal</t>
  </si>
  <si>
    <t>Result</t>
  </si>
  <si>
    <t>Likely cause</t>
  </si>
  <si>
    <t>First fix</t>
  </si>
  <si>
    <t>Your notes</t>
  </si>
  <si>
    <t>0-10 sec</t>
  </si>
  <si>
    <t>1. Is the drop real?</t>
  </si>
  <si>
    <t>GA4 Realtime, page source, GSC Performance</t>
  </si>
  <si>
    <t>GA4 tag (G-XXXX) appears once; GA sessions and GSC clicks move together.</t>
  </si>
  <si>
    <t>Tag missing or duplicated; GA falls while GSC clicks stay flat.</t>
  </si>
  <si>
    <t>Tracking glitch</t>
  </si>
  <si>
    <t>Re-add the tag, check Tag Manager version history, republish.</t>
  </si>
  <si>
    <t>e.g. GA tag missing from blog template</t>
  </si>
  <si>
    <t>10-20 sec</t>
  </si>
  <si>
    <t>2. Any penalty or hack?</t>
  </si>
  <si>
    <t>GSC &gt; Security issues, Manual actions</t>
  </si>
  <si>
    <t>Both reports say no issues detected.</t>
  </si>
  <si>
    <t>A manual action or security warning is listed.</t>
  </si>
  <si>
    <t>Penalty or hack</t>
  </si>
  <si>
    <t>Follow the report's steps, then submit a reconsideration request.</t>
  </si>
  <si>
    <t>20-30 sec</t>
  </si>
  <si>
    <t>3. Is Google indexing you?</t>
  </si>
  <si>
    <t>GSC &gt; Pages, URL Inspection</t>
  </si>
  <si>
    <t>Indexed page count is steady; top URLs are 'indexed'.</t>
  </si>
  <si>
    <t>Jump in 'Excluded by noindex', 404s or server errors; robots.txt blocking.</t>
  </si>
  <si>
    <t>Stray noindex or crawl block</t>
  </si>
  <si>
    <t>Remove the tag or rule, then request indexing for key URLs.</t>
  </si>
  <si>
    <t>30-40 sec</t>
  </si>
  <si>
    <t>4. Sitewide or a few pages?</t>
  </si>
  <si>
    <t>GSC Performance (Pages, Queries), Ahrefs, Semrush</t>
  </si>
  <si>
    <t>Losses are small and spread out.</t>
  </si>
  <si>
    <t>A few top pages account for most of the lost clicks, or everything fell at once.</t>
  </si>
  <si>
    <t>Sitewide: technical or algorithm. Few pages: content, competitors, lost links</t>
  </si>
  <si>
    <t>Open the biggest losers first and compare against the pages now ranking.</t>
  </si>
  <si>
    <t>40-50 sec</t>
  </si>
  <si>
    <t>5. Does the date match an update?</t>
  </si>
  <si>
    <t>Google Search Status Dashboard, '2026 Updates' tab</t>
  </si>
  <si>
    <t>Drop date is outside every update window.</t>
  </si>
  <si>
    <t>Drop starts inside or just after a core or spam update.</t>
  </si>
  <si>
    <t>Algorithm update</t>
  </si>
  <si>
    <t>Wait a full week after rollout ends, then compare to the weeks before.</t>
  </si>
  <si>
    <t>50-60 sec</t>
  </si>
  <si>
    <t>6. Did you change anything?</t>
  </si>
  <si>
    <t>Deploy log, robots.txt, redirects, canonicals</t>
  </si>
  <si>
    <t>No releases or migrations near the drop date.</t>
  </si>
  <si>
    <t>Release, redesign, migration or CMS change within days of the drop.</t>
  </si>
  <si>
    <t>Technical regression</t>
  </si>
  <si>
    <t>Roll back or fix the change; check redirect maps and canonicals.</t>
  </si>
  <si>
    <t>Score</t>
  </si>
  <si>
    <t>Checks done</t>
  </si>
  <si>
    <t>Problems found</t>
  </si>
  <si>
    <t>Seconds used</t>
  </si>
  <si>
    <t>Verdict</t>
  </si>
  <si>
    <t>Legend: pastel cells are guidance; edit only Result (column F) and Your notes (column I). Row 5 note is a sample to overwrite.</t>
  </si>
  <si>
    <t>Does My Drop Date Match a Google Update?</t>
  </si>
  <si>
    <t>Enter your drop date in B4. 'Likely match' means the date falls within 3 days before the start and 7 days after the end of a rollout.</t>
  </si>
  <si>
    <t>Your traffic drop date</t>
  </si>
  <si>
    <t>Sample date: overwrite with yours.</t>
  </si>
  <si>
    <t>Update</t>
  </si>
  <si>
    <t>Type</t>
  </si>
  <si>
    <t>Start</t>
  </si>
  <si>
    <t>End</t>
  </si>
  <si>
    <t>Match with your date</t>
  </si>
  <si>
    <t>Days in rollout</t>
  </si>
  <si>
    <t>Notes</t>
  </si>
  <si>
    <t>December 2025 core update</t>
  </si>
  <si>
    <t>Core</t>
  </si>
  <si>
    <t>Previous core update before 2026.</t>
  </si>
  <si>
    <t>February 2026 Discover core update</t>
  </si>
  <si>
    <t>Discover core</t>
  </si>
  <si>
    <t>Affects Discover traffic; ran about 22 days.</t>
  </si>
  <si>
    <t>March 2026 spam update</t>
  </si>
  <si>
    <t>Spam</t>
  </si>
  <si>
    <t>Finished in under a day.</t>
  </si>
  <si>
    <t>March 2026 core update</t>
  </si>
  <si>
    <t>Reported as more disruptive than December 2025.</t>
  </si>
  <si>
    <t>May 2026 core update</t>
  </si>
  <si>
    <t>Second core update of 2026; volatility reported around May 23 and 30.</t>
  </si>
  <si>
    <t>June 2026 spam update</t>
  </si>
  <si>
    <t>End date not confirmed here; check the dashboard.</t>
  </si>
  <si>
    <t>August 2026 spam update</t>
  </si>
  <si>
    <t>Completed Aug 21.</t>
  </si>
  <si>
    <t>September 2026 spam update</t>
  </si>
  <si>
    <t>Announced Sep 24, up to two weeks. Check the dashboard for completion.</t>
  </si>
  <si>
    <t>Summary</t>
  </si>
  <si>
    <t>Sources: Google Search Status Dashboard (status.search.google.com); Search Engine Roundtable (seroundtable.com) for core update dates;</t>
  </si>
  <si>
    <t>Search Engine Journal and Momentic for the Sept 2026 spam update. Checked October 2, 2026. Dates may change; confirm on the dashboard.</t>
  </si>
  <si>
    <t>Guidance: Google advises waiting a full week after a core update ends before analyzing Search Console, and says core updates have no specific fix.</t>
  </si>
  <si>
    <t>Cause-by-Cause Fix Playbook</t>
  </si>
  <si>
    <t>Once the audit points to a cause, use this to decide what to do and how long to wait.</t>
  </si>
  <si>
    <t>Cause</t>
  </si>
  <si>
    <t>What you see</t>
  </si>
  <si>
    <t>What to do</t>
  </si>
  <si>
    <t>Check afterwards</t>
  </si>
  <si>
    <t>Typical recovery</t>
  </si>
  <si>
    <t>Owner</t>
  </si>
  <si>
    <t>GA drops, GSC flat, Realtime shows nothing.</t>
  </si>
  <si>
    <t>Restore the tag, test in Realtime, annotate the gap in GA4.</t>
  </si>
  <si>
    <t>GA sessions track GSC clicks again.</t>
  </si>
  <si>
    <t>Immediate, but missing data stays missing.</t>
  </si>
  <si>
    <t>Analytics</t>
  </si>
  <si>
    <t>Accidental noindex / robots block</t>
  </si>
  <si>
    <t>Indexed pages fall; 'Excluded by noindex' rises.</t>
  </si>
  <si>
    <t>Remove the noindex or Disallow rule, resubmit sitemap, request indexing for top URLs.</t>
  </si>
  <si>
    <t>Pages report shows indexed count recovering.</t>
  </si>
  <si>
    <t>Days to a few weeks after recrawl.</t>
  </si>
  <si>
    <t>Dev</t>
  </si>
  <si>
    <t>Manual action or hack</t>
  </si>
  <si>
    <t>Notice in GSC Manual actions or Security issues.</t>
  </si>
  <si>
    <t>Fix the issue, document the fix, submit a reconsideration or review request.</t>
  </si>
  <si>
    <t>Report clears.</t>
  </si>
  <si>
    <t>Depends on review time.</t>
  </si>
  <si>
    <t>SEO + Dev</t>
  </si>
  <si>
    <t>Core update</t>
  </si>
  <si>
    <t>Drop begins inside a core rollout; many queries move.</t>
  </si>
  <si>
    <t>Do not rush changes. After the update settles, improve helpfulness: original data, firsthand experience, clear answers.</t>
  </si>
  <si>
    <t>Compare week-after vs weeks-before in GSC.</t>
  </si>
  <si>
    <t>Often gradual; can improve across later updates.</t>
  </si>
  <si>
    <t>Content</t>
  </si>
  <si>
    <t>Spam update</t>
  </si>
  <si>
    <t>Drop begins inside a spam update window.</t>
  </si>
  <si>
    <t>Review Google's spam policies against your site: scaled content, link schemes, expired-domain abuse, cloaking.</t>
  </si>
  <si>
    <t>Affected pages and patterns identified.</t>
  </si>
  <si>
    <t>After issues are fixed and systems reassess.</t>
  </si>
  <si>
    <t>SEO</t>
  </si>
  <si>
    <t>Migration or redirect errors</t>
  </si>
  <si>
    <t>Drop follows a launch; old URLs 404 or chain.</t>
  </si>
  <si>
    <t>Fix redirect map, canonicals and internal links; keep old URLs live until redirects verified.</t>
  </si>
  <si>
    <t>Crawl shows 301s to correct targets.</t>
  </si>
  <si>
    <t>Weeks.</t>
  </si>
  <si>
    <t>Lost links or new competitors</t>
  </si>
  <si>
    <t>A few pages lose positions.</t>
  </si>
  <si>
    <t>Refresh the page, win back or replace lost links, study pages now outranking you.</t>
  </si>
  <si>
    <t>Position tracking in Ahrefs or Semrush.</t>
  </si>
  <si>
    <t>Weeks to months.</t>
  </si>
  <si>
    <t>SERP layout or AI answers</t>
  </si>
  <si>
    <t>Impressions steady, CTR falls.</t>
  </si>
  <si>
    <t>Target queries with clear click intent; strengthen titles and snippets; add unique value an AI summary can't.</t>
  </si>
  <si>
    <t>CTR trend per query in GSC.</t>
  </si>
  <si>
    <t>Ongoing.</t>
  </si>
  <si>
    <t>Recovery times are rough, typical ranges from industry guidance, not guarantees. Google says core updates have no specific 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</si>
</sst>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2B2D42"/>
      <name val="Arial"/>
      <charset val="1"/>
    </font>
    <font>
      <i/>
      <sz val="10"/>
      <color rgb="FF6B6F85"/>
      <name val="Arial"/>
      <charset val="1"/>
    </font>
    <font>
      <b/>
      <sz val="11"/>
      <color rgb="FF2B2D42"/>
      <name val="Arial"/>
      <charset val="1"/>
    </font>
    <font>
      <b/>
      <sz val="10.5"/>
      <color rgb="FF2B2D42"/>
      <name val="Arial"/>
      <charset val="1"/>
    </font>
    <font>
      <sz val="10.5"/>
      <color rgb="FF2B2D42"/>
      <name val="Arial"/>
      <charset val="1"/>
    </font>
    <font>
      <b/>
      <sz val="13"/>
      <color rgb="FF2B2D42"/>
      <name val="Arial"/>
      <charset val="1"/>
    </font>
    <font>
      <b/>
      <sz val="11.5"/>
      <color rgb="FF2B2D42"/>
      <name val="Arial"/>
      <charset val="1"/>
    </font>
    <font>
      <i/>
      <sz val="9"/>
      <color rgb="FF6B6F85"/>
      <name val="Arial"/>
      <charset val="1"/>
    </font>
    <font>
      <b/>
      <sz val="11"/>
      <color rgb="FF1F3FBF"/>
      <name val="Arial"/>
      <charset val="1"/>
    </font>
    <font>
      <b/>
      <sz val="12"/>
      <color rgb="FF2B2D42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E4DFF7"/>
        <bgColor rgb="FFD6EAF8"/>
      </patternFill>
    </fill>
    <fill>
      <patternFill patternType="solid">
        <fgColor rgb="FFD9F2E6"/>
        <bgColor rgb="FFD6EAF8"/>
      </patternFill>
    </fill>
    <fill>
      <patternFill patternType="solid">
        <fgColor rgb="FFFBFAFF"/>
        <bgColor rgb="FFFFF6CC"/>
      </patternFill>
    </fill>
    <fill>
      <patternFill patternType="solid">
        <fgColor rgb="FFD6EAF8"/>
        <bgColor rgb="FFD9F2E6"/>
      </patternFill>
    </fill>
    <fill>
      <patternFill patternType="solid">
        <fgColor rgb="FFFDE5D4"/>
        <bgColor rgb="FFF9DDE6"/>
      </patternFill>
    </fill>
    <fill>
      <patternFill patternType="solid">
        <fgColor rgb="FFFFF6CC"/>
        <bgColor rgb="FFFDE5D4"/>
      </patternFill>
    </fill>
    <fill>
      <patternFill patternType="solid">
        <fgColor rgb="FFF9DDE6"/>
        <bgColor rgb="FFFDE5D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D6EAF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D6EAF8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BCFE0"/>
      </left>
      <right style="thin">
        <color rgb="FFCBCFE0"/>
      </right>
      <top style="thin">
        <color rgb="FFCBCFE0"/>
      </top>
      <bottom style="thin">
        <color rgb="FFCBCFE0"/>
      </bottom>
      <diagonal/>
    </border>
    <border>
      <left style="thin">
        <color rgb="FFCBCFE0"/>
      </left>
      <right/>
      <top style="thin">
        <color rgb="FFCBCFE0"/>
      </top>
      <bottom style="thin">
        <color rgb="FFCBCFE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vertical="center" wrapText="1" indent="1"/>
    </xf>
    <xf numFmtId="0" fontId="4" fillId="3" borderId="1" xfId="0" applyFont="1" applyFill="1" applyBorder="1" applyAlignment="1">
      <alignment vertical="center" wrapText="1" indent="1"/>
    </xf>
    <xf numFmtId="0" fontId="4" fillId="4" borderId="1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vertical="center" wrapText="1" inden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 indent="1"/>
    </xf>
    <xf numFmtId="0" fontId="4" fillId="5" borderId="1" xfId="0" applyFont="1" applyFill="1" applyBorder="1" applyAlignment="1">
      <alignment vertical="center" wrapText="1" indent="1"/>
    </xf>
    <xf numFmtId="0" fontId="4" fillId="6" borderId="1" xfId="0" applyFont="1" applyFill="1" applyBorder="1" applyAlignment="1">
      <alignment vertical="center" wrapText="1" indent="1"/>
    </xf>
    <xf numFmtId="0" fontId="4" fillId="7" borderId="1" xfId="0" applyFont="1" applyFill="1" applyBorder="1" applyAlignment="1">
      <alignment vertical="center" wrapText="1" indent="1"/>
    </xf>
    <xf numFmtId="0" fontId="4" fillId="8" borderId="1" xfId="0" applyFont="1" applyFill="1" applyBorder="1" applyAlignment="1">
      <alignment vertical="center" wrapText="1" indent="1"/>
    </xf>
    <xf numFmtId="0" fontId="4" fillId="2" borderId="1" xfId="0" applyFont="1" applyFill="1" applyBorder="1" applyAlignment="1">
      <alignment vertical="center" wrapText="1" indent="1"/>
    </xf>
    <xf numFmtId="0" fontId="6" fillId="0" borderId="0" xfId="0" applyFont="1"/>
    <xf numFmtId="0" fontId="8" fillId="0" borderId="0" xfId="0" applyFont="1"/>
    <xf numFmtId="0" fontId="3" fillId="0" borderId="0" xfId="0" applyFont="1"/>
    <xf numFmtId="164" fontId="9" fillId="7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0" borderId="0" xfId="0" applyFont="1"/>
    <xf numFmtId="0" fontId="6" fillId="3" borderId="0" xfId="0" applyFont="1" applyFill="1" applyAlignment="1">
      <alignment horizontal="center"/>
    </xf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indent="1"/>
    </xf>
    <xf numFmtId="0" fontId="7" fillId="7" borderId="2" xfId="0" applyFont="1" applyFill="1" applyBorder="1" applyAlignment="1">
      <alignment vertical="center" indent="1"/>
    </xf>
    <xf numFmtId="0" fontId="3" fillId="3" borderId="2" xfId="0" applyFont="1" applyFill="1" applyBorder="1" applyAlignment="1">
      <alignment vertical="center" indent="1"/>
    </xf>
    <xf numFmtId="0" fontId="1" fillId="12" borderId="0" xfId="0" applyFont="1" applyFill="1" applyAlignment="1">
      <alignment vertical="center" indent="1"/>
    </xf>
    <xf numFmtId="0" fontId="0" fillId="13" borderId="0" xfId="0" applyFill="1"/>
    <xf numFmtId="0" fontId="3" fillId="14" borderId="1" xfId="0" applyFont="1" applyFill="1" applyBorder="1" applyAlignment="1">
      <alignment vertical="center" wrapText="1" indent="1"/>
    </xf>
    <xf numFmtId="0" fontId="0" fillId="15" borderId="0" xfId="0" applyFill="1"/>
  </cellXfs>
  <cellStyles count="1">
    <cellStyle name="Normal" xfId="0" builtinId="0"/>
  </cellStyles>
  <dxfs count="3">
    <dxf>
      <fill>
        <patternFill>
          <bgColor rgb="FFF6B8C8"/>
        </patternFill>
      </fill>
    </dxf>
    <dxf>
      <fill>
        <patternFill>
          <bgColor rgb="FFBDE8D2"/>
        </patternFill>
      </fill>
    </dxf>
    <dxf>
      <fill>
        <patternFill>
          <bgColor rgb="FFF6B8C8"/>
        </patternFill>
      </fill>
    </dxf>
  </dxfs>
  <tableStyles count="0" defaultTableStyle="TableStyleMedium2" defaultPivotStyle="PivotStyleLight16"/>
  <colors>
    <indexedColors>
      <rgbColor rgb="FF000000"/>
      <rgbColor rgb="FFFBFA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F7"/>
      <rgbColor rgb="FF808080"/>
      <rgbColor rgb="FF9999FF"/>
      <rgbColor rgb="FF993366"/>
      <rgbColor rgb="FFFFF6CC"/>
      <rgbColor rgb="FFD9F2E6"/>
      <rgbColor rgb="FF660066"/>
      <rgbColor rgb="FFFF8080"/>
      <rgbColor rgb="FF0066CC"/>
      <rgbColor rgb="FFCB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BDE8D2"/>
      <rgbColor rgb="FFFDE5D4"/>
      <rgbColor rgb="FF99CCFF"/>
      <rgbColor rgb="FFF9DDE6"/>
      <rgbColor rgb="FFCC99FF"/>
      <rgbColor rgb="FFF6B8C8"/>
      <rgbColor rgb="FF3366FF"/>
      <rgbColor rgb="FF33CCCC"/>
      <rgbColor rgb="FF99CC00"/>
      <rgbColor rgb="FFFFCC00"/>
      <rgbColor rgb="FFFF9900"/>
      <rgbColor rgb="FFFF6600"/>
      <rgbColor rgb="FF6B6F85"/>
      <rgbColor rgb="FF969696"/>
      <rgbColor rgb="FF003366"/>
      <rgbColor rgb="FF339966"/>
      <rgbColor rgb="FF003300"/>
      <rgbColor rgb="FF333300"/>
      <rgbColor rgb="FF993300"/>
      <rgbColor rgb="FF993366"/>
      <rgbColor rgb="FF1F3FBF"/>
      <rgbColor rgb="FF2B2D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Normal="100" workbookViewId="0">
      <pane ySplit="4" topLeftCell="A5" activePane="bottomLeft" state="frozen"/>
      <selection pane="bottomLeft" activeCell="G6" sqref="G6"/>
    </sheetView>
  </sheetViews>
  <sheetFormatPr defaultColWidth="8.6640625" defaultRowHeight="14.4" x14ac:dyDescent="0.3"/>
  <cols>
    <col min="1" max="1" width="38" customWidth="1"/>
    <col min="2" max="2" width="23.109375" bestFit="1" customWidth="1"/>
    <col min="3" max="3" width="27.6640625" bestFit="1" customWidth="1"/>
    <col min="4" max="4" width="33.6640625" bestFit="1" customWidth="1"/>
    <col min="5" max="5" width="33.77734375" bestFit="1" customWidth="1"/>
    <col min="6" max="6" width="8.5546875" bestFit="1" customWidth="1"/>
    <col min="7" max="7" width="30.109375" bestFit="1" customWidth="1"/>
    <col min="8" max="8" width="35.88671875" bestFit="1" customWidth="1"/>
    <col min="9" max="9" width="26" customWidth="1"/>
  </cols>
  <sheetData>
    <row r="1" spans="1:9" s="28" customFormat="1" ht="39.7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24" customHeight="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4" spans="1:9" s="30" customFormat="1" ht="27.75" customHeight="1" x14ac:dyDescent="0.3">
      <c r="A4" s="29" t="s">
        <v>2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</row>
    <row r="5" spans="1:9" ht="73.5" customHeight="1" x14ac:dyDescent="0.3">
      <c r="A5" s="2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5"/>
      <c r="G5" s="4" t="s">
        <v>16</v>
      </c>
      <c r="H5" s="4" t="s">
        <v>17</v>
      </c>
      <c r="I5" s="6" t="s">
        <v>18</v>
      </c>
    </row>
    <row r="6" spans="1:9" ht="73.5" customHeight="1" x14ac:dyDescent="0.3">
      <c r="A6" s="7" t="s">
        <v>19</v>
      </c>
      <c r="B6" s="3" t="s">
        <v>20</v>
      </c>
      <c r="C6" s="4" t="s">
        <v>21</v>
      </c>
      <c r="D6" s="4" t="s">
        <v>22</v>
      </c>
      <c r="E6" s="4" t="s">
        <v>23</v>
      </c>
      <c r="F6" s="5"/>
      <c r="G6" s="4" t="s">
        <v>24</v>
      </c>
      <c r="H6" s="4" t="s">
        <v>25</v>
      </c>
      <c r="I6" s="4"/>
    </row>
    <row r="7" spans="1:9" ht="73.5" customHeight="1" x14ac:dyDescent="0.3">
      <c r="A7" s="8" t="s">
        <v>26</v>
      </c>
      <c r="B7" s="3" t="s">
        <v>27</v>
      </c>
      <c r="C7" s="4" t="s">
        <v>28</v>
      </c>
      <c r="D7" s="4" t="s">
        <v>29</v>
      </c>
      <c r="E7" s="4" t="s">
        <v>30</v>
      </c>
      <c r="F7" s="5"/>
      <c r="G7" s="4" t="s">
        <v>31</v>
      </c>
      <c r="H7" s="4" t="s">
        <v>32</v>
      </c>
      <c r="I7" s="4"/>
    </row>
    <row r="8" spans="1:9" ht="73.5" customHeight="1" x14ac:dyDescent="0.3">
      <c r="A8" s="9" t="s">
        <v>33</v>
      </c>
      <c r="B8" s="3" t="s">
        <v>34</v>
      </c>
      <c r="C8" s="4" t="s">
        <v>35</v>
      </c>
      <c r="D8" s="4" t="s">
        <v>36</v>
      </c>
      <c r="E8" s="4" t="s">
        <v>37</v>
      </c>
      <c r="F8" s="5"/>
      <c r="G8" s="4" t="s">
        <v>38</v>
      </c>
      <c r="H8" s="4" t="s">
        <v>39</v>
      </c>
      <c r="I8" s="4"/>
    </row>
    <row r="9" spans="1:9" ht="73.5" customHeight="1" x14ac:dyDescent="0.3">
      <c r="A9" s="10" t="s">
        <v>40</v>
      </c>
      <c r="B9" s="3" t="s">
        <v>41</v>
      </c>
      <c r="C9" s="4" t="s">
        <v>42</v>
      </c>
      <c r="D9" s="4" t="s">
        <v>43</v>
      </c>
      <c r="E9" s="4" t="s">
        <v>44</v>
      </c>
      <c r="F9" s="5"/>
      <c r="G9" s="4" t="s">
        <v>45</v>
      </c>
      <c r="H9" s="4" t="s">
        <v>46</v>
      </c>
      <c r="I9" s="4"/>
    </row>
    <row r="10" spans="1:9" ht="73.5" customHeight="1" x14ac:dyDescent="0.3">
      <c r="A10" s="11" t="s">
        <v>47</v>
      </c>
      <c r="B10" s="3" t="s">
        <v>48</v>
      </c>
      <c r="C10" s="4" t="s">
        <v>49</v>
      </c>
      <c r="D10" s="4" t="s">
        <v>50</v>
      </c>
      <c r="E10" s="4" t="s">
        <v>51</v>
      </c>
      <c r="F10" s="5"/>
      <c r="G10" s="4" t="s">
        <v>52</v>
      </c>
      <c r="H10" s="4" t="s">
        <v>53</v>
      </c>
      <c r="I10" s="4"/>
    </row>
    <row r="12" spans="1:9" ht="16.8" x14ac:dyDescent="0.3">
      <c r="A12" s="12" t="s">
        <v>54</v>
      </c>
    </row>
    <row r="13" spans="1:9" ht="16.8" x14ac:dyDescent="0.3">
      <c r="A13" s="20" t="s">
        <v>55</v>
      </c>
      <c r="B13" s="19">
        <f>COUNTIF(F5:F10,"OK")+COUNTIF(F5:F10,"Problem")</f>
        <v>0</v>
      </c>
    </row>
    <row r="14" spans="1:9" ht="16.8" x14ac:dyDescent="0.3">
      <c r="A14" s="21" t="s">
        <v>56</v>
      </c>
      <c r="B14" s="19">
        <f>COUNTIF(F5:F10,"Problem")</f>
        <v>0</v>
      </c>
    </row>
    <row r="15" spans="1:9" ht="16.8" x14ac:dyDescent="0.3">
      <c r="A15" s="22" t="s">
        <v>57</v>
      </c>
      <c r="B15" s="19">
        <f>B13*10</f>
        <v>0</v>
      </c>
    </row>
    <row r="17" spans="1:8" ht="31.5" customHeight="1" x14ac:dyDescent="0.3">
      <c r="A17" s="12" t="s">
        <v>58</v>
      </c>
      <c r="B17" s="25" t="str">
        <f>IF(B13&lt;6,"Finish all 6 checks first.",IF(B14=0,"No quick-check problems. Move on to keyword and content analysis.",IF(B14=1,"One problem found. Fix it, then request re-indexing in GSC.","Several problems. Fix tracking and indexing first, then review content.")))</f>
        <v>Finish all 6 checks first.</v>
      </c>
      <c r="C17" s="25"/>
      <c r="D17" s="25"/>
      <c r="E17" s="25"/>
      <c r="F17" s="25"/>
      <c r="G17" s="25"/>
      <c r="H17" s="25"/>
    </row>
    <row r="19" spans="1:8" x14ac:dyDescent="0.3">
      <c r="A19" s="13" t="s">
        <v>59</v>
      </c>
    </row>
  </sheetData>
  <mergeCells count="3">
    <mergeCell ref="A1:I1"/>
    <mergeCell ref="A2:I2"/>
    <mergeCell ref="B17:H17"/>
  </mergeCells>
  <conditionalFormatting sqref="F5:F10">
    <cfRule type="cellIs" dxfId="2" priority="2" operator="equal">
      <formula>"Problem"</formula>
    </cfRule>
    <cfRule type="cellIs" dxfId="1" priority="3" operator="equal">
      <formula>"OK"</formula>
    </cfRule>
  </conditionalFormatting>
  <dataValidations count="1">
    <dataValidation type="list" allowBlank="1" sqref="F5:F10" xr:uid="{00000000-0002-0000-0000-000000000000}">
      <formula1>"OK,Problem,Skipped"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16" customWidth="1"/>
    <col min="3" max="4" width="14" customWidth="1"/>
    <col min="5" max="5" width="18" customWidth="1"/>
    <col min="6" max="6" width="22" customWidth="1"/>
    <col min="7" max="7" width="48" customWidth="1"/>
  </cols>
  <sheetData>
    <row r="1" spans="1:7" ht="39.75" customHeight="1" x14ac:dyDescent="0.3">
      <c r="A1" s="23" t="s">
        <v>60</v>
      </c>
      <c r="B1" s="23"/>
      <c r="C1" s="23"/>
      <c r="D1" s="23"/>
      <c r="E1" s="23"/>
      <c r="F1" s="23"/>
      <c r="G1" s="23"/>
    </row>
    <row r="2" spans="1:7" ht="24" customHeight="1" x14ac:dyDescent="0.3">
      <c r="A2" s="24" t="s">
        <v>61</v>
      </c>
      <c r="B2" s="24"/>
      <c r="C2" s="24"/>
      <c r="D2" s="24"/>
      <c r="E2" s="24"/>
      <c r="F2" s="24"/>
      <c r="G2" s="24"/>
    </row>
    <row r="4" spans="1:7" x14ac:dyDescent="0.3">
      <c r="A4" s="14" t="s">
        <v>62</v>
      </c>
      <c r="B4" s="15">
        <v>46167</v>
      </c>
      <c r="C4" s="13" t="s">
        <v>63</v>
      </c>
    </row>
    <row r="6" spans="1:7" ht="27.75" customHeight="1" x14ac:dyDescent="0.3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69</v>
      </c>
      <c r="G6" s="1" t="s">
        <v>70</v>
      </c>
    </row>
    <row r="7" spans="1:7" ht="33.75" customHeight="1" x14ac:dyDescent="0.3">
      <c r="A7" s="11" t="s">
        <v>71</v>
      </c>
      <c r="B7" s="4" t="s">
        <v>72</v>
      </c>
      <c r="C7" s="16">
        <v>46002</v>
      </c>
      <c r="D7" s="16">
        <v>46020</v>
      </c>
      <c r="E7" s="17" t="str">
        <f t="shared" ref="E7:E14" si="0">IF($B$4="","Enter date",IF(AND($B$4&gt;=C7-3,$B$4&lt;=IF(D7="",C7,D7)+7),"Likely match","No match"))</f>
        <v>No match</v>
      </c>
      <c r="F7" s="17">
        <f t="shared" ref="F7:F14" si="1">IF(D7="","See dashboard",D7-C7+1)</f>
        <v>19</v>
      </c>
      <c r="G7" s="4" t="s">
        <v>73</v>
      </c>
    </row>
    <row r="8" spans="1:7" ht="33.75" customHeight="1" x14ac:dyDescent="0.3">
      <c r="A8" s="7" t="s">
        <v>74</v>
      </c>
      <c r="B8" s="4" t="s">
        <v>75</v>
      </c>
      <c r="C8" s="16">
        <v>46058</v>
      </c>
      <c r="D8" s="16">
        <v>46080</v>
      </c>
      <c r="E8" s="17" t="str">
        <f t="shared" si="0"/>
        <v>No match</v>
      </c>
      <c r="F8" s="17">
        <f t="shared" si="1"/>
        <v>23</v>
      </c>
      <c r="G8" s="4" t="s">
        <v>76</v>
      </c>
    </row>
    <row r="9" spans="1:7" ht="33.75" customHeight="1" x14ac:dyDescent="0.3">
      <c r="A9" s="8" t="s">
        <v>77</v>
      </c>
      <c r="B9" s="4" t="s">
        <v>78</v>
      </c>
      <c r="C9" s="16">
        <v>46105</v>
      </c>
      <c r="D9" s="16">
        <v>46106</v>
      </c>
      <c r="E9" s="17" t="str">
        <f t="shared" si="0"/>
        <v>No match</v>
      </c>
      <c r="F9" s="17">
        <f t="shared" si="1"/>
        <v>2</v>
      </c>
      <c r="G9" s="4" t="s">
        <v>79</v>
      </c>
    </row>
    <row r="10" spans="1:7" ht="33.75" customHeight="1" x14ac:dyDescent="0.3">
      <c r="A10" s="2" t="s">
        <v>80</v>
      </c>
      <c r="B10" s="4" t="s">
        <v>72</v>
      </c>
      <c r="C10" s="16">
        <v>46108</v>
      </c>
      <c r="D10" s="16">
        <v>46120</v>
      </c>
      <c r="E10" s="17" t="str">
        <f t="shared" si="0"/>
        <v>No match</v>
      </c>
      <c r="F10" s="17">
        <f t="shared" si="1"/>
        <v>13</v>
      </c>
      <c r="G10" s="4" t="s">
        <v>81</v>
      </c>
    </row>
    <row r="11" spans="1:7" ht="33.75" customHeight="1" x14ac:dyDescent="0.3">
      <c r="A11" s="9" t="s">
        <v>82</v>
      </c>
      <c r="B11" s="4" t="s">
        <v>72</v>
      </c>
      <c r="C11" s="16">
        <v>46163</v>
      </c>
      <c r="D11" s="16">
        <v>46175</v>
      </c>
      <c r="E11" s="17" t="str">
        <f t="shared" si="0"/>
        <v>Likely match</v>
      </c>
      <c r="F11" s="17">
        <f t="shared" si="1"/>
        <v>13</v>
      </c>
      <c r="G11" s="4" t="s">
        <v>83</v>
      </c>
    </row>
    <row r="12" spans="1:7" ht="33.75" customHeight="1" x14ac:dyDescent="0.3">
      <c r="A12" s="10" t="s">
        <v>84</v>
      </c>
      <c r="B12" s="4" t="s">
        <v>78</v>
      </c>
      <c r="C12" s="16">
        <v>46197</v>
      </c>
      <c r="D12" s="16"/>
      <c r="E12" s="17" t="str">
        <f t="shared" si="0"/>
        <v>No match</v>
      </c>
      <c r="F12" s="17" t="str">
        <f t="shared" si="1"/>
        <v>See dashboard</v>
      </c>
      <c r="G12" s="4" t="s">
        <v>85</v>
      </c>
    </row>
    <row r="13" spans="1:7" ht="33.75" customHeight="1" x14ac:dyDescent="0.3">
      <c r="A13" s="8" t="s">
        <v>86</v>
      </c>
      <c r="B13" s="4" t="s">
        <v>78</v>
      </c>
      <c r="C13" s="16">
        <v>46252</v>
      </c>
      <c r="D13" s="16">
        <v>46255</v>
      </c>
      <c r="E13" s="17" t="str">
        <f t="shared" si="0"/>
        <v>No match</v>
      </c>
      <c r="F13" s="17">
        <f t="shared" si="1"/>
        <v>4</v>
      </c>
      <c r="G13" s="4" t="s">
        <v>87</v>
      </c>
    </row>
    <row r="14" spans="1:7" ht="33.75" customHeight="1" x14ac:dyDescent="0.3">
      <c r="A14" s="2" t="s">
        <v>88</v>
      </c>
      <c r="B14" s="4" t="s">
        <v>78</v>
      </c>
      <c r="C14" s="16">
        <v>46289</v>
      </c>
      <c r="D14" s="16"/>
      <c r="E14" s="17" t="str">
        <f t="shared" si="0"/>
        <v>No match</v>
      </c>
      <c r="F14" s="17" t="str">
        <f t="shared" si="1"/>
        <v>See dashboard</v>
      </c>
      <c r="G14" s="4" t="s">
        <v>89</v>
      </c>
    </row>
    <row r="16" spans="1:7" ht="30" customHeight="1" x14ac:dyDescent="0.3">
      <c r="A16" s="18" t="s">
        <v>90</v>
      </c>
      <c r="B16" s="26" t="str">
        <f>IF(COUNTIF(E7:E14,"Likely match")=0,"No official update matches. Look at technical causes.","Date overlaps "&amp;COUNTIF(E7:E14,"Likely match")&amp;" update window(s). Wait a week after the rollout ends before judging.")</f>
        <v>Date overlaps 1 update window(s). Wait a week after the rollout ends before judging.</v>
      </c>
      <c r="C16" s="26"/>
      <c r="D16" s="26"/>
      <c r="E16" s="26"/>
      <c r="F16" s="26"/>
      <c r="G16" s="26"/>
    </row>
    <row r="18" spans="1:1" x14ac:dyDescent="0.3">
      <c r="A18" s="13" t="s">
        <v>91</v>
      </c>
    </row>
    <row r="19" spans="1:1" x14ac:dyDescent="0.3">
      <c r="A19" s="13" t="s">
        <v>92</v>
      </c>
    </row>
    <row r="20" spans="1:1" x14ac:dyDescent="0.3">
      <c r="A20" s="13" t="s">
        <v>93</v>
      </c>
    </row>
  </sheetData>
  <mergeCells count="3">
    <mergeCell ref="A1:G1"/>
    <mergeCell ref="A2:G2"/>
    <mergeCell ref="B16:G16"/>
  </mergeCells>
  <conditionalFormatting sqref="E7:E14">
    <cfRule type="cellIs" dxfId="0" priority="2" operator="equal">
      <formula>"Likely match"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38" customWidth="1"/>
    <col min="3" max="3" width="42" customWidth="1"/>
    <col min="4" max="4" width="34" customWidth="1"/>
    <col min="5" max="5" width="26" customWidth="1"/>
    <col min="6" max="6" width="22" customWidth="1"/>
  </cols>
  <sheetData>
    <row r="1" spans="1:6" ht="39.75" customHeight="1" x14ac:dyDescent="0.3">
      <c r="A1" s="23" t="s">
        <v>94</v>
      </c>
      <c r="B1" s="23"/>
      <c r="C1" s="23"/>
      <c r="D1" s="23"/>
      <c r="E1" s="23"/>
      <c r="F1" s="23"/>
    </row>
    <row r="2" spans="1:6" ht="24" customHeight="1" x14ac:dyDescent="0.3">
      <c r="A2" s="24" t="s">
        <v>95</v>
      </c>
      <c r="B2" s="24"/>
      <c r="C2" s="24"/>
      <c r="D2" s="24"/>
      <c r="E2" s="24"/>
      <c r="F2" s="24"/>
    </row>
    <row r="4" spans="1:6" ht="27.75" customHeight="1" x14ac:dyDescent="0.3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  <c r="F4" s="1" t="s">
        <v>101</v>
      </c>
    </row>
    <row r="5" spans="1:6" ht="61.5" customHeight="1" x14ac:dyDescent="0.3">
      <c r="A5" s="2" t="s">
        <v>16</v>
      </c>
      <c r="B5" s="4" t="s">
        <v>102</v>
      </c>
      <c r="C5" s="4" t="s">
        <v>103</v>
      </c>
      <c r="D5" s="4" t="s">
        <v>104</v>
      </c>
      <c r="E5" s="4" t="s">
        <v>105</v>
      </c>
      <c r="F5" s="4" t="s">
        <v>106</v>
      </c>
    </row>
    <row r="6" spans="1:6" ht="61.5" customHeight="1" x14ac:dyDescent="0.3">
      <c r="A6" s="7" t="s">
        <v>107</v>
      </c>
      <c r="B6" s="4" t="s">
        <v>108</v>
      </c>
      <c r="C6" s="4" t="s">
        <v>109</v>
      </c>
      <c r="D6" s="4" t="s">
        <v>110</v>
      </c>
      <c r="E6" s="4" t="s">
        <v>111</v>
      </c>
      <c r="F6" s="4" t="s">
        <v>112</v>
      </c>
    </row>
    <row r="7" spans="1:6" ht="61.5" customHeight="1" x14ac:dyDescent="0.3">
      <c r="A7" s="8" t="s">
        <v>113</v>
      </c>
      <c r="B7" s="4" t="s">
        <v>114</v>
      </c>
      <c r="C7" s="4" t="s">
        <v>115</v>
      </c>
      <c r="D7" s="4" t="s">
        <v>116</v>
      </c>
      <c r="E7" s="4" t="s">
        <v>117</v>
      </c>
      <c r="F7" s="4" t="s">
        <v>118</v>
      </c>
    </row>
    <row r="8" spans="1:6" ht="61.5" customHeight="1" x14ac:dyDescent="0.3">
      <c r="A8" s="9" t="s">
        <v>119</v>
      </c>
      <c r="B8" s="4" t="s">
        <v>120</v>
      </c>
      <c r="C8" s="4" t="s">
        <v>121</v>
      </c>
      <c r="D8" s="4" t="s">
        <v>122</v>
      </c>
      <c r="E8" s="4" t="s">
        <v>123</v>
      </c>
      <c r="F8" s="4" t="s">
        <v>124</v>
      </c>
    </row>
    <row r="9" spans="1:6" ht="61.5" customHeight="1" x14ac:dyDescent="0.3">
      <c r="A9" s="10" t="s">
        <v>125</v>
      </c>
      <c r="B9" s="4" t="s">
        <v>126</v>
      </c>
      <c r="C9" s="4" t="s">
        <v>127</v>
      </c>
      <c r="D9" s="4" t="s">
        <v>128</v>
      </c>
      <c r="E9" s="4" t="s">
        <v>129</v>
      </c>
      <c r="F9" s="4" t="s">
        <v>130</v>
      </c>
    </row>
    <row r="10" spans="1:6" ht="61.5" customHeight="1" x14ac:dyDescent="0.3">
      <c r="A10" s="11" t="s">
        <v>131</v>
      </c>
      <c r="B10" s="4" t="s">
        <v>132</v>
      </c>
      <c r="C10" s="4" t="s">
        <v>133</v>
      </c>
      <c r="D10" s="4" t="s">
        <v>134</v>
      </c>
      <c r="E10" s="4" t="s">
        <v>135</v>
      </c>
      <c r="F10" s="4" t="s">
        <v>112</v>
      </c>
    </row>
    <row r="11" spans="1:6" ht="61.5" customHeight="1" x14ac:dyDescent="0.3">
      <c r="A11" s="2" t="s">
        <v>136</v>
      </c>
      <c r="B11" s="4" t="s">
        <v>137</v>
      </c>
      <c r="C11" s="4" t="s">
        <v>138</v>
      </c>
      <c r="D11" s="4" t="s">
        <v>139</v>
      </c>
      <c r="E11" s="4" t="s">
        <v>140</v>
      </c>
      <c r="F11" s="4" t="s">
        <v>130</v>
      </c>
    </row>
    <row r="12" spans="1:6" ht="61.5" customHeight="1" x14ac:dyDescent="0.3">
      <c r="A12" s="7" t="s">
        <v>141</v>
      </c>
      <c r="B12" s="4" t="s">
        <v>142</v>
      </c>
      <c r="C12" s="4" t="s">
        <v>143</v>
      </c>
      <c r="D12" s="4" t="s">
        <v>144</v>
      </c>
      <c r="E12" s="4" t="s">
        <v>145</v>
      </c>
      <c r="F12" s="4" t="s">
        <v>124</v>
      </c>
    </row>
    <row r="14" spans="1:6" x14ac:dyDescent="0.3">
      <c r="A14" s="13" t="s">
        <v>146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60-Second Audit</vt:lpstr>
      <vt:lpstr>2026 Updates</vt:lpstr>
      <vt:lpstr>Fix 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Devendra Jamsandekar</cp:lastModifiedBy>
  <cp:revision>0</cp:revision>
  <dcterms:created xsi:type="dcterms:W3CDTF">2026-10-02T11:14:40Z</dcterms:created>
  <dcterms:modified xsi:type="dcterms:W3CDTF">2026-10-02T18:17:45Z</dcterms:modified>
  <dc:language>en-US</dc:language>
</cp:coreProperties>
</file>